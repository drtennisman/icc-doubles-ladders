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6"/>
  <workbookPr/>
  <mc:AlternateContent xmlns:mc="http://schemas.openxmlformats.org/markup-compatibility/2006">
    <mc:Choice Requires="x15">
      <x15ac:absPath xmlns:x15ac="http://schemas.microsoft.com/office/spreadsheetml/2010/11/ac" url="C:\Users\jwein\Desktop\"/>
    </mc:Choice>
  </mc:AlternateContent>
  <xr:revisionPtr revIDLastSave="0" documentId="8_{32010354-65EE-43D6-8F98-F14910E1FC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dder Standings" sheetId="4" r:id="rId1"/>
    <sheet name="Score Input" sheetId="6" r:id="rId2"/>
    <sheet name="Score Card" sheetId="5" r:id="rId3"/>
  </sheets>
  <definedNames>
    <definedName name="_xlnm._FilterDatabase" localSheetId="0" hidden="1">'Ladder Standings'!$A$2:$BH$49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7" i="4" l="1"/>
  <c r="BG17" i="4"/>
  <c r="BF17" i="4"/>
  <c r="BE17" i="4"/>
  <c r="BH4" i="4"/>
  <c r="BG4" i="4"/>
  <c r="BF4" i="4"/>
  <c r="BE4" i="4"/>
  <c r="BH19" i="4"/>
  <c r="BG19" i="4"/>
  <c r="BF19" i="4"/>
  <c r="BE19" i="4"/>
  <c r="BH6" i="4"/>
  <c r="BG6" i="4"/>
  <c r="BF6" i="4"/>
  <c r="BE6" i="4"/>
  <c r="BH7" i="4"/>
  <c r="BH5" i="4"/>
  <c r="D17" i="4"/>
  <c r="BH16" i="4"/>
  <c r="BH15" i="4"/>
  <c r="BH13" i="4"/>
  <c r="BH11" i="4"/>
  <c r="BH14" i="4"/>
  <c r="BH10" i="4"/>
  <c r="BH9" i="4"/>
  <c r="BH8" i="4"/>
  <c r="BH12" i="4"/>
  <c r="BG16" i="4"/>
  <c r="BG15" i="4"/>
  <c r="BG13" i="4"/>
  <c r="BG11" i="4"/>
  <c r="BG14" i="4"/>
  <c r="BG10" i="4"/>
  <c r="BG9" i="4"/>
  <c r="BG8" i="4"/>
  <c r="BG12" i="4"/>
  <c r="BG7" i="4"/>
  <c r="BG5" i="4"/>
  <c r="BF16" i="4"/>
  <c r="BF15" i="4"/>
  <c r="BF13" i="4"/>
  <c r="BF11" i="4"/>
  <c r="BF14" i="4"/>
  <c r="BF10" i="4"/>
  <c r="BF9" i="4"/>
  <c r="BF8" i="4"/>
  <c r="BF12" i="4"/>
  <c r="BF7" i="4"/>
  <c r="BF5" i="4"/>
  <c r="BE8" i="4"/>
  <c r="BE16" i="4"/>
  <c r="BE15" i="4"/>
  <c r="BE13" i="4"/>
  <c r="BE11" i="4"/>
  <c r="BE14" i="4"/>
  <c r="BE10" i="4"/>
  <c r="BE9" i="4"/>
  <c r="BE12" i="4"/>
  <c r="BE7" i="4"/>
  <c r="BE5" i="4"/>
  <c r="D4" i="4"/>
  <c r="C4" i="4"/>
  <c r="D16" i="4"/>
  <c r="C16" i="4"/>
  <c r="D10" i="4"/>
  <c r="C10" i="4"/>
  <c r="D14" i="4"/>
  <c r="C14" i="4"/>
  <c r="D9" i="4"/>
  <c r="C9" i="4"/>
  <c r="C17" i="4"/>
  <c r="D11" i="4"/>
  <c r="C11" i="4"/>
  <c r="D6" i="4"/>
  <c r="C6" i="4"/>
  <c r="C5" i="4"/>
  <c r="D5" i="4"/>
  <c r="C19" i="4"/>
  <c r="C7" i="4"/>
  <c r="D12" i="4"/>
  <c r="C12" i="4"/>
  <c r="D15" i="4"/>
  <c r="D8" i="4"/>
  <c r="D19" i="4"/>
  <c r="D7" i="4"/>
  <c r="D13" i="4"/>
  <c r="C13" i="4"/>
  <c r="C8" i="4"/>
  <c r="C15" i="4"/>
</calcChain>
</file>

<file path=xl/sharedStrings.xml><?xml version="1.0" encoding="utf-8"?>
<sst xmlns="http://schemas.openxmlformats.org/spreadsheetml/2006/main" count="155" uniqueCount="53">
  <si>
    <t>Rank</t>
  </si>
  <si>
    <t>Players</t>
  </si>
  <si>
    <t>Round 1 Sets Won:</t>
  </si>
  <si>
    <t>Round 1 Games Won:</t>
  </si>
  <si>
    <t>Round 2 Sets Won:</t>
  </si>
  <si>
    <t>Round 2 Games Won:</t>
  </si>
  <si>
    <t>Round 3  Sets Won:</t>
  </si>
  <si>
    <t>Round 3 Games Won:</t>
  </si>
  <si>
    <t>Round 4  Sets Won:</t>
  </si>
  <si>
    <t>Round 4  Games Won:</t>
  </si>
  <si>
    <t>Round 5 Sets Won:</t>
  </si>
  <si>
    <t>Round 5 Games Won:</t>
  </si>
  <si>
    <t>Round 6 Sets Won:</t>
  </si>
  <si>
    <t>Round 6 Games Won:</t>
  </si>
  <si>
    <t>Round 7 Sets Won:</t>
  </si>
  <si>
    <t>Round 7 Games Won:</t>
  </si>
  <si>
    <t>Week 7</t>
  </si>
  <si>
    <t xml:space="preserve">Week 7 </t>
  </si>
  <si>
    <t xml:space="preserve">Week 8 </t>
  </si>
  <si>
    <t xml:space="preserve">Week 9 </t>
  </si>
  <si>
    <t xml:space="preserve">Week 10 </t>
  </si>
  <si>
    <t xml:space="preserve">Week 11 </t>
  </si>
  <si>
    <t>Week 11</t>
  </si>
  <si>
    <t xml:space="preserve">Week 12 </t>
  </si>
  <si>
    <t>Totals Sets</t>
  </si>
  <si>
    <t>Total Games</t>
  </si>
  <si>
    <t>Sets    Win %</t>
  </si>
  <si>
    <t>Games Win %</t>
  </si>
  <si>
    <t>W</t>
  </si>
  <si>
    <t>L</t>
  </si>
  <si>
    <t>Ashley Wood</t>
  </si>
  <si>
    <t>Julie Schweer</t>
  </si>
  <si>
    <t>Melinda Claudepierre</t>
  </si>
  <si>
    <t>Emily Whitehead</t>
  </si>
  <si>
    <t>Martha Douglas</t>
  </si>
  <si>
    <t>Sally McClanahan</t>
  </si>
  <si>
    <t>Rebecca Sandidge</t>
  </si>
  <si>
    <t>Mallory Carrington</t>
  </si>
  <si>
    <t>Kendall Woods</t>
  </si>
  <si>
    <t>Bonnie Johnson</t>
  </si>
  <si>
    <t>Becca Mathis</t>
  </si>
  <si>
    <t>Melody Debardelaben</t>
  </si>
  <si>
    <t>Suzy Vines</t>
  </si>
  <si>
    <t>SUB</t>
  </si>
  <si>
    <t>Teague Wright</t>
  </si>
  <si>
    <t>Name:</t>
  </si>
  <si>
    <t>Set 1 Games:</t>
  </si>
  <si>
    <t>Set 2 Games:</t>
  </si>
  <si>
    <t>Set 3 Games:</t>
  </si>
  <si>
    <t xml:space="preserve">Total Sets </t>
  </si>
  <si>
    <t>Won</t>
  </si>
  <si>
    <t>Lost</t>
  </si>
  <si>
    <t xml:space="preserve">Won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</si>
</sst>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/>
    <xf numFmtId="10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0" fontId="1" fillId="0" borderId="6" xfId="0" applyNumberFormat="1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0" borderId="0" xfId="0" applyFont="1"/>
    <xf numFmtId="0" fontId="7" fillId="0" borderId="0" xfId="0" applyFont="1"/>
    <xf numFmtId="0" fontId="0" fillId="0" borderId="11" xfId="0" applyBorder="1"/>
    <xf numFmtId="0" fontId="3" fillId="0" borderId="11" xfId="0" applyFont="1" applyBorder="1"/>
    <xf numFmtId="0" fontId="7" fillId="0" borderId="12" xfId="0" applyFont="1" applyBorder="1"/>
    <xf numFmtId="0" fontId="1" fillId="3" borderId="1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3" xfId="0" applyBorder="1" applyAlignment="1">
      <alignment horizontal="center"/>
    </xf>
    <xf numFmtId="10" fontId="1" fillId="2" borderId="13" xfId="0" applyNumberFormat="1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2" xfId="0" applyBorder="1"/>
    <xf numFmtId="0" fontId="0" fillId="0" borderId="11" xfId="0" applyBorder="1" applyAlignment="1">
      <alignment horizontal="center"/>
    </xf>
    <xf numFmtId="10" fontId="1" fillId="2" borderId="11" xfId="0" applyNumberFormat="1" applyFont="1" applyFill="1" applyBorder="1" applyAlignment="1">
      <alignment horizontal="center"/>
    </xf>
    <xf numFmtId="0" fontId="0" fillId="0" borderId="17" xfId="0" applyBorder="1"/>
    <xf numFmtId="0" fontId="1" fillId="2" borderId="1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0" fontId="1" fillId="2" borderId="12" xfId="0" applyNumberFormat="1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J49"/>
  <sheetViews>
    <sheetView tabSelected="1" workbookViewId="0">
      <selection activeCell="A6" sqref="A6:XFD6"/>
    </sheetView>
  </sheetViews>
  <sheetFormatPr defaultRowHeight="15"/>
  <cols>
    <col min="2" max="2" width="20.5703125" bestFit="1" customWidth="1"/>
    <col min="5" max="5" width="4.42578125" customWidth="1"/>
    <col min="6" max="6" width="5.5703125" customWidth="1"/>
    <col min="7" max="7" width="4.85546875" customWidth="1"/>
    <col min="8" max="8" width="6.140625" customWidth="1"/>
    <col min="9" max="9" width="4.85546875" customWidth="1"/>
    <col min="10" max="10" width="5.140625" customWidth="1"/>
    <col min="11" max="11" width="4.5703125" customWidth="1"/>
    <col min="12" max="12" width="4.7109375" customWidth="1"/>
    <col min="13" max="13" width="4.5703125" customWidth="1"/>
    <col min="14" max="14" width="4.7109375" customWidth="1"/>
    <col min="15" max="15" width="4.5703125" customWidth="1"/>
    <col min="16" max="16" width="4.7109375" customWidth="1"/>
    <col min="17" max="17" width="4" customWidth="1"/>
    <col min="18" max="18" width="4.28515625" customWidth="1"/>
    <col min="19" max="19" width="4.140625" customWidth="1"/>
    <col min="20" max="20" width="4.5703125" customWidth="1"/>
    <col min="21" max="22" width="4.42578125" customWidth="1"/>
    <col min="23" max="23" width="4" customWidth="1"/>
    <col min="24" max="24" width="4.7109375" customWidth="1"/>
    <col min="25" max="25" width="4.85546875" customWidth="1"/>
    <col min="26" max="32" width="4.7109375" customWidth="1"/>
    <col min="33" max="56" width="9.140625" hidden="1" customWidth="1"/>
  </cols>
  <sheetData>
    <row r="2" spans="1:62">
      <c r="A2" s="10" t="s">
        <v>0</v>
      </c>
      <c r="B2" s="9" t="s">
        <v>1</v>
      </c>
      <c r="C2" s="9"/>
      <c r="D2" s="8"/>
      <c r="E2" s="50" t="s">
        <v>2</v>
      </c>
      <c r="F2" s="51"/>
      <c r="G2" s="50" t="s">
        <v>3</v>
      </c>
      <c r="H2" s="51"/>
      <c r="I2" s="50" t="s">
        <v>4</v>
      </c>
      <c r="J2" s="51"/>
      <c r="K2" s="50" t="s">
        <v>5</v>
      </c>
      <c r="L2" s="51"/>
      <c r="M2" s="50" t="s">
        <v>6</v>
      </c>
      <c r="N2" s="51"/>
      <c r="O2" s="50" t="s">
        <v>7</v>
      </c>
      <c r="P2" s="51"/>
      <c r="Q2" s="50" t="s">
        <v>8</v>
      </c>
      <c r="R2" s="51"/>
      <c r="S2" s="50" t="s">
        <v>9</v>
      </c>
      <c r="T2" s="51"/>
      <c r="U2" s="50" t="s">
        <v>10</v>
      </c>
      <c r="V2" s="51"/>
      <c r="W2" s="50" t="s">
        <v>11</v>
      </c>
      <c r="X2" s="51"/>
      <c r="Y2" s="50" t="s">
        <v>12</v>
      </c>
      <c r="Z2" s="51"/>
      <c r="AA2" s="50" t="s">
        <v>13</v>
      </c>
      <c r="AB2" s="51"/>
      <c r="AC2" s="50" t="s">
        <v>14</v>
      </c>
      <c r="AD2" s="51"/>
      <c r="AE2" s="50" t="s">
        <v>15</v>
      </c>
      <c r="AF2" s="51"/>
      <c r="AG2" s="50" t="s">
        <v>16</v>
      </c>
      <c r="AH2" s="51"/>
      <c r="AI2" s="50" t="s">
        <v>17</v>
      </c>
      <c r="AJ2" s="51"/>
      <c r="AK2" s="50" t="s">
        <v>18</v>
      </c>
      <c r="AL2" s="51"/>
      <c r="AM2" s="50" t="s">
        <v>18</v>
      </c>
      <c r="AN2" s="51"/>
      <c r="AO2" s="50" t="s">
        <v>19</v>
      </c>
      <c r="AP2" s="51"/>
      <c r="AQ2" s="50" t="s">
        <v>19</v>
      </c>
      <c r="AR2" s="51"/>
      <c r="AS2" s="50" t="s">
        <v>20</v>
      </c>
      <c r="AT2" s="51"/>
      <c r="AU2" s="50" t="s">
        <v>20</v>
      </c>
      <c r="AV2" s="51"/>
      <c r="AW2" s="50" t="s">
        <v>21</v>
      </c>
      <c r="AX2" s="51"/>
      <c r="AY2" s="50" t="s">
        <v>22</v>
      </c>
      <c r="AZ2" s="51"/>
      <c r="BA2" s="50" t="s">
        <v>23</v>
      </c>
      <c r="BB2" s="51"/>
      <c r="BC2" s="50" t="s">
        <v>23</v>
      </c>
      <c r="BD2" s="51"/>
      <c r="BE2" s="50" t="s">
        <v>24</v>
      </c>
      <c r="BF2" s="51"/>
      <c r="BG2" s="50" t="s">
        <v>25</v>
      </c>
      <c r="BH2" s="51"/>
    </row>
    <row r="3" spans="1:62" ht="24">
      <c r="A3" s="7"/>
      <c r="B3" s="11"/>
      <c r="C3" s="12" t="s">
        <v>26</v>
      </c>
      <c r="D3" s="12" t="s">
        <v>27</v>
      </c>
      <c r="E3" s="13" t="s">
        <v>28</v>
      </c>
      <c r="F3" s="6" t="s">
        <v>29</v>
      </c>
      <c r="G3" s="6" t="s">
        <v>28</v>
      </c>
      <c r="H3" s="6" t="s">
        <v>29</v>
      </c>
      <c r="I3" s="6" t="s">
        <v>28</v>
      </c>
      <c r="J3" s="6" t="s">
        <v>29</v>
      </c>
      <c r="K3" s="6" t="s">
        <v>28</v>
      </c>
      <c r="L3" s="6" t="s">
        <v>29</v>
      </c>
      <c r="M3" s="6" t="s">
        <v>28</v>
      </c>
      <c r="N3" s="6" t="s">
        <v>29</v>
      </c>
      <c r="O3" s="6" t="s">
        <v>28</v>
      </c>
      <c r="P3" s="6" t="s">
        <v>29</v>
      </c>
      <c r="Q3" s="6" t="s">
        <v>28</v>
      </c>
      <c r="R3" s="6" t="s">
        <v>29</v>
      </c>
      <c r="S3" s="6" t="s">
        <v>28</v>
      </c>
      <c r="T3" s="6" t="s">
        <v>29</v>
      </c>
      <c r="U3" s="6" t="s">
        <v>28</v>
      </c>
      <c r="V3" s="6" t="s">
        <v>29</v>
      </c>
      <c r="W3" s="6" t="s">
        <v>28</v>
      </c>
      <c r="X3" s="6" t="s">
        <v>29</v>
      </c>
      <c r="Y3" s="6" t="s">
        <v>28</v>
      </c>
      <c r="Z3" s="6" t="s">
        <v>29</v>
      </c>
      <c r="AA3" s="6" t="s">
        <v>28</v>
      </c>
      <c r="AB3" s="6" t="s">
        <v>29</v>
      </c>
      <c r="AC3" s="6" t="s">
        <v>28</v>
      </c>
      <c r="AD3" s="6" t="s">
        <v>29</v>
      </c>
      <c r="AE3" s="6" t="s">
        <v>28</v>
      </c>
      <c r="AF3" s="6" t="s">
        <v>29</v>
      </c>
      <c r="AG3" s="6" t="s">
        <v>28</v>
      </c>
      <c r="AH3" s="6" t="s">
        <v>29</v>
      </c>
      <c r="AI3" s="6" t="s">
        <v>28</v>
      </c>
      <c r="AJ3" s="6" t="s">
        <v>29</v>
      </c>
      <c r="AK3" s="6" t="s">
        <v>28</v>
      </c>
      <c r="AL3" s="6" t="s">
        <v>29</v>
      </c>
      <c r="AM3" s="6" t="s">
        <v>28</v>
      </c>
      <c r="AN3" s="6" t="s">
        <v>29</v>
      </c>
      <c r="AO3" s="6" t="s">
        <v>28</v>
      </c>
      <c r="AP3" s="6" t="s">
        <v>29</v>
      </c>
      <c r="AQ3" s="6" t="s">
        <v>28</v>
      </c>
      <c r="AR3" s="6" t="s">
        <v>29</v>
      </c>
      <c r="AS3" s="6" t="s">
        <v>28</v>
      </c>
      <c r="AT3" s="6" t="s">
        <v>29</v>
      </c>
      <c r="AU3" s="6" t="s">
        <v>28</v>
      </c>
      <c r="AV3" s="6" t="s">
        <v>29</v>
      </c>
      <c r="AW3" s="6" t="s">
        <v>28</v>
      </c>
      <c r="AX3" s="6" t="s">
        <v>29</v>
      </c>
      <c r="AY3" s="6" t="s">
        <v>28</v>
      </c>
      <c r="AZ3" s="6" t="s">
        <v>29</v>
      </c>
      <c r="BA3" s="6" t="s">
        <v>28</v>
      </c>
      <c r="BB3" s="6" t="s">
        <v>29</v>
      </c>
      <c r="BC3" s="6" t="s">
        <v>28</v>
      </c>
      <c r="BD3" s="6" t="s">
        <v>29</v>
      </c>
      <c r="BE3" s="6" t="s">
        <v>28</v>
      </c>
      <c r="BF3" s="5" t="s">
        <v>29</v>
      </c>
      <c r="BG3" s="6" t="s">
        <v>28</v>
      </c>
      <c r="BH3" s="5" t="s">
        <v>29</v>
      </c>
      <c r="BJ3" s="1"/>
    </row>
    <row r="4" spans="1:62">
      <c r="A4" s="14">
        <v>1</v>
      </c>
      <c r="B4" s="1" t="s">
        <v>30</v>
      </c>
      <c r="C4" s="15">
        <f>BE4/(BE4+BF4)</f>
        <v>0.66666666666666663</v>
      </c>
      <c r="D4" s="15">
        <f>BG4/(BG4+BH4)</f>
        <v>0.61988304093567248</v>
      </c>
      <c r="E4" s="16">
        <v>2</v>
      </c>
      <c r="F4" s="16">
        <v>1</v>
      </c>
      <c r="G4" s="16">
        <v>16</v>
      </c>
      <c r="H4" s="16">
        <v>7</v>
      </c>
      <c r="I4" s="16">
        <v>2</v>
      </c>
      <c r="J4" s="16">
        <v>1</v>
      </c>
      <c r="K4" s="16">
        <v>14</v>
      </c>
      <c r="L4" s="16">
        <v>9</v>
      </c>
      <c r="M4" s="16">
        <v>1</v>
      </c>
      <c r="N4" s="16">
        <v>2</v>
      </c>
      <c r="O4" s="16">
        <v>13</v>
      </c>
      <c r="P4" s="16">
        <v>12</v>
      </c>
      <c r="Q4" s="16">
        <v>2</v>
      </c>
      <c r="R4" s="2">
        <v>1</v>
      </c>
      <c r="S4" s="2">
        <v>16</v>
      </c>
      <c r="T4" s="2">
        <v>11</v>
      </c>
      <c r="U4" s="2">
        <v>1</v>
      </c>
      <c r="V4" s="2">
        <v>2</v>
      </c>
      <c r="W4" s="2">
        <v>11</v>
      </c>
      <c r="X4" s="2">
        <v>13</v>
      </c>
      <c r="Y4" s="2">
        <v>3</v>
      </c>
      <c r="Z4" s="2">
        <v>0</v>
      </c>
      <c r="AA4" s="2">
        <v>18</v>
      </c>
      <c r="AB4" s="2">
        <v>8</v>
      </c>
      <c r="AC4" s="2">
        <v>3</v>
      </c>
      <c r="AD4" s="2">
        <v>0</v>
      </c>
      <c r="AE4" s="2">
        <v>18</v>
      </c>
      <c r="AF4" s="2">
        <v>5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4">
        <f>E4+I4+M4+Q4+U4+Y4+AG4+AK4+AO4+AS4+AW4+BA4+AC4</f>
        <v>14</v>
      </c>
      <c r="BF4" s="4">
        <f>F4+J4+N4+R4+V4+Z4+AH4+AL4+AP4+AT4+AX4+BB4+AD4</f>
        <v>7</v>
      </c>
      <c r="BG4" s="4">
        <f>G4+K4+O4+S4+W4+AA4+AI4+AM4+AQ4+AU4+AY4+BC4+AE4</f>
        <v>106</v>
      </c>
      <c r="BH4" s="4">
        <f>H4+L4+P4+T4+X4+AB4+AJ4+AN4+AR4+AV4+AZ4+BD4+AF4</f>
        <v>65</v>
      </c>
    </row>
    <row r="5" spans="1:62">
      <c r="A5" s="14">
        <v>2</v>
      </c>
      <c r="B5" s="1" t="s">
        <v>31</v>
      </c>
      <c r="C5" s="15">
        <f>BE5/(BE5+BF5)</f>
        <v>0.5714285714285714</v>
      </c>
      <c r="D5" s="15">
        <f>BG5/(BG5+BH5)</f>
        <v>0.52542372881355937</v>
      </c>
      <c r="E5" s="16">
        <v>2</v>
      </c>
      <c r="F5" s="16">
        <v>1</v>
      </c>
      <c r="G5" s="16">
        <v>14</v>
      </c>
      <c r="H5" s="16">
        <v>9</v>
      </c>
      <c r="I5" s="16">
        <v>2</v>
      </c>
      <c r="J5" s="16">
        <v>1</v>
      </c>
      <c r="K5" s="16">
        <v>13</v>
      </c>
      <c r="L5" s="16">
        <v>10</v>
      </c>
      <c r="M5" s="16">
        <v>1</v>
      </c>
      <c r="N5" s="16">
        <v>2</v>
      </c>
      <c r="O5" s="16">
        <v>11</v>
      </c>
      <c r="P5" s="16">
        <v>14</v>
      </c>
      <c r="Q5" s="16">
        <v>2</v>
      </c>
      <c r="R5" s="2">
        <v>1</v>
      </c>
      <c r="S5" s="2">
        <v>15</v>
      </c>
      <c r="T5" s="2">
        <v>12</v>
      </c>
      <c r="U5" s="2">
        <v>2</v>
      </c>
      <c r="V5" s="2">
        <v>1</v>
      </c>
      <c r="W5" s="2">
        <v>13</v>
      </c>
      <c r="X5" s="2">
        <v>13</v>
      </c>
      <c r="Y5" s="2">
        <v>2</v>
      </c>
      <c r="Z5" s="2">
        <v>1</v>
      </c>
      <c r="AA5" s="2">
        <v>17</v>
      </c>
      <c r="AB5" s="2">
        <v>13</v>
      </c>
      <c r="AC5" s="2">
        <v>1</v>
      </c>
      <c r="AD5" s="2">
        <v>2</v>
      </c>
      <c r="AE5" s="2">
        <v>10</v>
      </c>
      <c r="AF5" s="2">
        <v>13</v>
      </c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4">
        <f>E5+I5+M5+Q5+U5+Y5+AG5+AK5+AO5+AS5+AW5+BA5+AC5</f>
        <v>12</v>
      </c>
      <c r="BF5" s="4">
        <f>F5+J5+N5+R5+V5+Z5+AH5+AL5+AP5+AT5+AX5+BB5+AD5</f>
        <v>9</v>
      </c>
      <c r="BG5" s="4">
        <f>G5+K5+O5+S5+W5+AA5+AI5+AM5+AQ5+AU5+AY5+BC5+AE5</f>
        <v>93</v>
      </c>
      <c r="BH5" s="4">
        <f>H5+L5+P5+T5+X5+AB5+AJ5+AN5+AR5+AV5+AZ5+BD5+AF5</f>
        <v>84</v>
      </c>
    </row>
    <row r="6" spans="1:62">
      <c r="A6" s="14">
        <v>2</v>
      </c>
      <c r="B6" s="1" t="s">
        <v>32</v>
      </c>
      <c r="C6" s="15">
        <f>BE6/(BE6+BF6)</f>
        <v>0.5714285714285714</v>
      </c>
      <c r="D6" s="15">
        <f>BG6/(BG6+BH6)</f>
        <v>0.52542372881355937</v>
      </c>
      <c r="E6" s="16">
        <v>2</v>
      </c>
      <c r="F6" s="16">
        <v>1</v>
      </c>
      <c r="G6" s="16">
        <v>12</v>
      </c>
      <c r="H6" s="16">
        <v>11</v>
      </c>
      <c r="I6" s="19">
        <v>2</v>
      </c>
      <c r="J6" s="19">
        <v>1</v>
      </c>
      <c r="K6" s="19">
        <v>14</v>
      </c>
      <c r="L6" s="19">
        <v>11</v>
      </c>
      <c r="M6" s="16">
        <v>2</v>
      </c>
      <c r="N6" s="16">
        <v>1</v>
      </c>
      <c r="O6" s="16">
        <v>17</v>
      </c>
      <c r="P6" s="16">
        <v>12</v>
      </c>
      <c r="Q6" s="16">
        <v>2</v>
      </c>
      <c r="R6" s="2">
        <v>1</v>
      </c>
      <c r="S6" s="2">
        <v>14</v>
      </c>
      <c r="T6" s="2">
        <v>11</v>
      </c>
      <c r="U6" s="2">
        <v>1</v>
      </c>
      <c r="V6" s="2">
        <v>2</v>
      </c>
      <c r="W6" s="2">
        <v>7</v>
      </c>
      <c r="X6" s="2">
        <v>17</v>
      </c>
      <c r="Y6" s="2">
        <v>1</v>
      </c>
      <c r="Z6" s="2">
        <v>2</v>
      </c>
      <c r="AA6" s="2">
        <v>13</v>
      </c>
      <c r="AB6" s="2">
        <v>13</v>
      </c>
      <c r="AC6" s="2">
        <v>2</v>
      </c>
      <c r="AD6" s="2">
        <v>1</v>
      </c>
      <c r="AE6" s="2">
        <v>16</v>
      </c>
      <c r="AF6" s="2">
        <v>9</v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4">
        <f>E6+I6+M6+Q6+U6+Y6+AG6+AK6+AO6+AS6+AW6+BA6+AC6</f>
        <v>12</v>
      </c>
      <c r="BF6" s="4">
        <f>F6+J6+N6+R6+V6+Z6+AH6+AL6+AP6+AT6+AX6+BB6+AD6</f>
        <v>9</v>
      </c>
      <c r="BG6" s="4">
        <f>G6+K6+O6+S6+W6+AA6+AI6+AM6+AQ6+AU6+AY6+BC6+AE6</f>
        <v>93</v>
      </c>
      <c r="BH6" s="4">
        <f>H6+L6+P6+T6+X6+AB6+AJ6+AN6+AR6+AV6+AZ6+BD6+AF6</f>
        <v>84</v>
      </c>
    </row>
    <row r="7" spans="1:62">
      <c r="A7" s="14">
        <v>4</v>
      </c>
      <c r="B7" s="18" t="s">
        <v>33</v>
      </c>
      <c r="C7" s="15">
        <f>BE7/(BE7+BF7)</f>
        <v>0.5714285714285714</v>
      </c>
      <c r="D7" s="15">
        <f>BG7/(BG7+BH7)</f>
        <v>0.50270270270270268</v>
      </c>
      <c r="E7" s="16">
        <v>2</v>
      </c>
      <c r="F7" s="16">
        <v>1</v>
      </c>
      <c r="G7" s="16">
        <v>15</v>
      </c>
      <c r="H7" s="16">
        <v>14</v>
      </c>
      <c r="I7" s="16">
        <v>2</v>
      </c>
      <c r="J7" s="16">
        <v>1</v>
      </c>
      <c r="K7" s="16">
        <v>13</v>
      </c>
      <c r="L7" s="16">
        <v>12</v>
      </c>
      <c r="M7" s="16">
        <v>2</v>
      </c>
      <c r="N7" s="16">
        <v>1</v>
      </c>
      <c r="O7" s="16">
        <v>16</v>
      </c>
      <c r="P7" s="16">
        <v>13</v>
      </c>
      <c r="Q7" s="16">
        <v>2</v>
      </c>
      <c r="R7" s="2">
        <v>1</v>
      </c>
      <c r="S7" s="2">
        <v>13</v>
      </c>
      <c r="T7" s="2">
        <v>12</v>
      </c>
      <c r="U7" s="2">
        <v>1</v>
      </c>
      <c r="V7" s="2">
        <v>2</v>
      </c>
      <c r="W7" s="2">
        <v>12</v>
      </c>
      <c r="X7" s="2">
        <v>12</v>
      </c>
      <c r="Y7" s="2">
        <v>2</v>
      </c>
      <c r="Z7" s="2">
        <v>1</v>
      </c>
      <c r="AA7" s="2">
        <v>14</v>
      </c>
      <c r="AB7" s="2">
        <v>16</v>
      </c>
      <c r="AC7" s="2">
        <v>1</v>
      </c>
      <c r="AD7" s="2">
        <v>2</v>
      </c>
      <c r="AE7" s="2">
        <v>10</v>
      </c>
      <c r="AF7" s="2">
        <v>13</v>
      </c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4">
        <f>E7+I7+M7+Q7+U7+Y7+AG7+AK7+AO7+AS7+AW7+BA7+AC7</f>
        <v>12</v>
      </c>
      <c r="BF7" s="4">
        <f>F7+J7+N7+R7+V7+Z7+AH7+AL7+AP7+AT7+AX7+BB7+AD7</f>
        <v>9</v>
      </c>
      <c r="BG7" s="4">
        <f>G7+K7+O7+S7+W7+AA7+AI7+AM7+AQ7+AU7+AY7+BC7+AE7</f>
        <v>93</v>
      </c>
      <c r="BH7" s="4">
        <f>H7+L7+P7+T7+X7+AB7+AJ7+AN7+AR7+AV7+AZ7+BD7+AF7</f>
        <v>92</v>
      </c>
    </row>
    <row r="8" spans="1:62">
      <c r="A8" s="14">
        <v>5</v>
      </c>
      <c r="B8" s="1" t="s">
        <v>34</v>
      </c>
      <c r="C8" s="15">
        <f>BE8/(BE8+BF8)</f>
        <v>0.52380952380952384</v>
      </c>
      <c r="D8" s="15">
        <f>BG8/(BG8+BH8)</f>
        <v>0.5168539325842697</v>
      </c>
      <c r="E8" s="16">
        <v>2</v>
      </c>
      <c r="F8" s="16">
        <v>1</v>
      </c>
      <c r="G8" s="16">
        <v>15</v>
      </c>
      <c r="H8" s="16">
        <v>8</v>
      </c>
      <c r="I8" s="30">
        <v>2</v>
      </c>
      <c r="J8" s="30">
        <v>1</v>
      </c>
      <c r="K8" s="30">
        <v>14</v>
      </c>
      <c r="L8" s="30">
        <v>9</v>
      </c>
      <c r="M8" s="16">
        <v>1</v>
      </c>
      <c r="N8" s="16">
        <v>2</v>
      </c>
      <c r="O8" s="16">
        <v>8</v>
      </c>
      <c r="P8" s="16">
        <v>17</v>
      </c>
      <c r="Q8" s="16">
        <v>2</v>
      </c>
      <c r="R8" s="2">
        <v>1</v>
      </c>
      <c r="S8" s="2">
        <v>14</v>
      </c>
      <c r="T8" s="2">
        <v>13</v>
      </c>
      <c r="U8" s="2">
        <v>2</v>
      </c>
      <c r="V8" s="2">
        <v>1</v>
      </c>
      <c r="W8" s="2">
        <v>17</v>
      </c>
      <c r="X8" s="2">
        <v>8</v>
      </c>
      <c r="Y8" s="2">
        <v>0</v>
      </c>
      <c r="Z8" s="2">
        <v>3</v>
      </c>
      <c r="AA8" s="2">
        <v>12</v>
      </c>
      <c r="AB8" s="2">
        <v>18</v>
      </c>
      <c r="AC8" s="2">
        <v>2</v>
      </c>
      <c r="AD8" s="2">
        <v>1</v>
      </c>
      <c r="AE8" s="2">
        <v>12</v>
      </c>
      <c r="AF8" s="2">
        <v>13</v>
      </c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4">
        <f>E8+I8+M8+Q8+U8+Y8+AG8+AK8+AO8+AS8+AW8+BA8+AC8</f>
        <v>11</v>
      </c>
      <c r="BF8" s="4">
        <f>F8+J8+N8+R8+V8+Z8+AH8+AL8+AP8+AT8+AX8+BB8+AD8</f>
        <v>10</v>
      </c>
      <c r="BG8" s="4">
        <f>G8+K8+O8+S8+W8+AA8+AI8+AM8+AQ8+AU8+AY8+BC8+AE8</f>
        <v>92</v>
      </c>
      <c r="BH8" s="4">
        <f>H8+L8+P8+T8+X8+AB8+AJ8+AN8+AR8+AV8+AZ8+BD8+AF8</f>
        <v>86</v>
      </c>
    </row>
    <row r="9" spans="1:62">
      <c r="A9" s="14">
        <v>6</v>
      </c>
      <c r="B9" s="1" t="s">
        <v>35</v>
      </c>
      <c r="C9" s="15">
        <f>BE9/(BE9+BF9)</f>
        <v>0.52380952380952384</v>
      </c>
      <c r="D9" s="15">
        <f>BG9/(BG9+BH9)</f>
        <v>0.50555555555555554</v>
      </c>
      <c r="E9" s="16">
        <v>2</v>
      </c>
      <c r="F9" s="16">
        <v>1</v>
      </c>
      <c r="G9" s="16">
        <v>12</v>
      </c>
      <c r="H9" s="28">
        <v>12</v>
      </c>
      <c r="I9" s="31">
        <v>2</v>
      </c>
      <c r="J9" s="31">
        <v>1</v>
      </c>
      <c r="K9" s="31">
        <v>16</v>
      </c>
      <c r="L9" s="31">
        <v>9</v>
      </c>
      <c r="M9" s="49">
        <v>2</v>
      </c>
      <c r="N9" s="19">
        <v>1</v>
      </c>
      <c r="O9" s="19">
        <v>16</v>
      </c>
      <c r="P9" s="19">
        <v>13</v>
      </c>
      <c r="Q9" s="16">
        <v>0</v>
      </c>
      <c r="R9" s="2">
        <v>3</v>
      </c>
      <c r="S9" s="2">
        <v>7</v>
      </c>
      <c r="T9" s="2">
        <v>18</v>
      </c>
      <c r="U9" s="2">
        <v>2</v>
      </c>
      <c r="V9" s="2">
        <v>1</v>
      </c>
      <c r="W9" s="2">
        <v>14</v>
      </c>
      <c r="X9" s="2">
        <v>12</v>
      </c>
      <c r="Y9" s="2">
        <v>1</v>
      </c>
      <c r="Z9" s="2">
        <v>2</v>
      </c>
      <c r="AA9" s="2">
        <v>11</v>
      </c>
      <c r="AB9" s="2">
        <v>15</v>
      </c>
      <c r="AC9" s="2">
        <v>2</v>
      </c>
      <c r="AD9" s="2">
        <v>1</v>
      </c>
      <c r="AE9" s="2">
        <v>15</v>
      </c>
      <c r="AF9" s="2">
        <v>10</v>
      </c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4">
        <f>E9+I9+M9+Q9+U9+Y9+AG9+AK9+AO9+AS9+AW9+BA9+AC9</f>
        <v>11</v>
      </c>
      <c r="BF9" s="4">
        <f>F9+J9+N9+R9+V9+Z9+AH9+AL9+AP9+AT9+AX9+BB9+AD9</f>
        <v>10</v>
      </c>
      <c r="BG9" s="4">
        <f>G9+K9+O9+S9+W9+AA9+AI9+AM9+AQ9+AU9+AY9+BC9+AE9</f>
        <v>91</v>
      </c>
      <c r="BH9" s="4">
        <f>H9+L9+P9+T9+X9+AB9+AJ9+AN9+AR9+AV9+AZ9+BD9+AF9</f>
        <v>89</v>
      </c>
    </row>
    <row r="10" spans="1:62">
      <c r="A10" s="14">
        <v>7</v>
      </c>
      <c r="B10" s="21" t="s">
        <v>36</v>
      </c>
      <c r="C10" s="15">
        <f>BE10/(BE10+BF10)</f>
        <v>0.52380952380952384</v>
      </c>
      <c r="D10" s="15">
        <f>BG10/(BG10+BH10)</f>
        <v>0.48087431693989069</v>
      </c>
      <c r="E10" s="16">
        <v>2</v>
      </c>
      <c r="F10" s="16">
        <v>1</v>
      </c>
      <c r="G10" s="16">
        <v>16</v>
      </c>
      <c r="H10" s="28">
        <v>8</v>
      </c>
      <c r="I10" s="31">
        <v>0</v>
      </c>
      <c r="J10" s="31">
        <v>3</v>
      </c>
      <c r="K10" s="31">
        <v>5</v>
      </c>
      <c r="L10" s="31">
        <v>18</v>
      </c>
      <c r="M10" s="29">
        <v>2</v>
      </c>
      <c r="N10" s="16">
        <v>1</v>
      </c>
      <c r="O10" s="16">
        <v>16</v>
      </c>
      <c r="P10" s="16">
        <v>13</v>
      </c>
      <c r="Q10" s="16">
        <v>2</v>
      </c>
      <c r="R10" s="2">
        <v>1</v>
      </c>
      <c r="S10" s="2">
        <v>13</v>
      </c>
      <c r="T10" s="2">
        <v>14</v>
      </c>
      <c r="U10" s="2">
        <v>2</v>
      </c>
      <c r="V10" s="2">
        <v>1</v>
      </c>
      <c r="W10" s="2">
        <v>13</v>
      </c>
      <c r="X10" s="2">
        <v>14</v>
      </c>
      <c r="Y10" s="2">
        <v>1</v>
      </c>
      <c r="Z10" s="2">
        <v>2</v>
      </c>
      <c r="AA10" s="2">
        <v>10</v>
      </c>
      <c r="AB10" s="2">
        <v>16</v>
      </c>
      <c r="AC10" s="2">
        <v>2</v>
      </c>
      <c r="AD10" s="2">
        <v>1</v>
      </c>
      <c r="AE10" s="2">
        <v>15</v>
      </c>
      <c r="AF10" s="2">
        <v>12</v>
      </c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4">
        <f>E10+I10+M10+Q10+U10+Y10+AG10+AK10+AO10+AS10+AW10+BA10+AC10</f>
        <v>11</v>
      </c>
      <c r="BF10" s="4">
        <f>F10+J10+N10+R10+V10+Z10+AH10+AL10+AP10+AT10+AX10+BB10+AD10</f>
        <v>10</v>
      </c>
      <c r="BG10" s="4">
        <f>G10+K10+O10+S10+W10+AA10+AI10+AM10+AQ10+AU10+AY10+BC10+AE10</f>
        <v>88</v>
      </c>
      <c r="BH10" s="4">
        <f>H10+L10+P10+T10+X10+AB10+AJ10+AN10+AR10+AV10+AZ10+BD10+AF10</f>
        <v>95</v>
      </c>
    </row>
    <row r="11" spans="1:62">
      <c r="A11" s="14">
        <v>8</v>
      </c>
      <c r="B11" s="1" t="s">
        <v>37</v>
      </c>
      <c r="C11" s="15">
        <f>BE11/(BE11+BF11)</f>
        <v>0.47619047619047616</v>
      </c>
      <c r="D11" s="15">
        <f>BG11/(BG11+BH11)</f>
        <v>0.47593582887700536</v>
      </c>
      <c r="E11" s="16">
        <v>2</v>
      </c>
      <c r="F11" s="16">
        <v>1</v>
      </c>
      <c r="G11" s="16">
        <v>13</v>
      </c>
      <c r="H11" s="28">
        <v>10</v>
      </c>
      <c r="I11" s="31">
        <v>1</v>
      </c>
      <c r="J11" s="31">
        <v>2</v>
      </c>
      <c r="K11" s="31">
        <v>10</v>
      </c>
      <c r="L11" s="31">
        <v>17</v>
      </c>
      <c r="M11" s="29">
        <v>2</v>
      </c>
      <c r="N11" s="16">
        <v>1</v>
      </c>
      <c r="O11" s="16">
        <v>14</v>
      </c>
      <c r="P11" s="16">
        <v>15</v>
      </c>
      <c r="Q11" s="16">
        <v>2</v>
      </c>
      <c r="R11" s="2">
        <v>1</v>
      </c>
      <c r="S11" s="2">
        <v>17</v>
      </c>
      <c r="T11" s="2">
        <v>10</v>
      </c>
      <c r="U11" s="2">
        <v>0</v>
      </c>
      <c r="V11" s="2">
        <v>3</v>
      </c>
      <c r="W11" s="2">
        <v>8</v>
      </c>
      <c r="X11" s="2">
        <v>18</v>
      </c>
      <c r="Y11" s="2">
        <v>1</v>
      </c>
      <c r="Z11" s="2">
        <v>2</v>
      </c>
      <c r="AA11" s="2">
        <v>12</v>
      </c>
      <c r="AB11" s="2">
        <v>16</v>
      </c>
      <c r="AC11" s="2">
        <v>2</v>
      </c>
      <c r="AD11" s="2">
        <v>1</v>
      </c>
      <c r="AE11" s="2">
        <v>15</v>
      </c>
      <c r="AF11" s="2">
        <v>12</v>
      </c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4">
        <f>E11+I11+M11+Q11+U11+Y11+AG11+AK11+AO11+AS11+AW11+BA11+AC11</f>
        <v>10</v>
      </c>
      <c r="BF11" s="4">
        <f>F11+J11+N11+R11+V11+Z11+AH11+AL11+AP11+AT11+AX11+BB11+AD11</f>
        <v>11</v>
      </c>
      <c r="BG11" s="4">
        <f>G11+K11+O11+S11+W11+AA11+AI11+AM11+AQ11+AU11+AY11+BC11+AE11</f>
        <v>89</v>
      </c>
      <c r="BH11" s="4">
        <f>H11+L11+P11+T11+X11+AB11+AJ11+AN11+AR11+AV11+AZ11+BD11+AF11</f>
        <v>98</v>
      </c>
    </row>
    <row r="12" spans="1:62">
      <c r="A12" s="3">
        <v>9</v>
      </c>
      <c r="B12" s="18" t="s">
        <v>38</v>
      </c>
      <c r="C12" s="15">
        <f>BE12/(BE12+BF12)</f>
        <v>0.44444444444444442</v>
      </c>
      <c r="D12" s="15">
        <f>BG12/(BG12+BH12)</f>
        <v>0.46666666666666667</v>
      </c>
      <c r="E12" s="16">
        <v>2</v>
      </c>
      <c r="F12" s="16">
        <v>1</v>
      </c>
      <c r="G12" s="16">
        <v>16</v>
      </c>
      <c r="H12" s="28">
        <v>13</v>
      </c>
      <c r="I12" s="31">
        <v>1</v>
      </c>
      <c r="J12" s="31">
        <v>2</v>
      </c>
      <c r="K12" s="31">
        <v>12</v>
      </c>
      <c r="L12" s="31">
        <v>15</v>
      </c>
      <c r="M12" s="29">
        <v>2</v>
      </c>
      <c r="N12" s="16">
        <v>1</v>
      </c>
      <c r="O12" s="16">
        <v>15</v>
      </c>
      <c r="P12" s="16">
        <v>14</v>
      </c>
      <c r="Q12" s="16">
        <v>0</v>
      </c>
      <c r="R12" s="2">
        <v>3</v>
      </c>
      <c r="S12" s="2">
        <v>9</v>
      </c>
      <c r="T12" s="2">
        <v>18</v>
      </c>
      <c r="U12" s="2">
        <v>0</v>
      </c>
      <c r="V12" s="2">
        <v>0</v>
      </c>
      <c r="W12" s="2">
        <v>0</v>
      </c>
      <c r="X12" s="2">
        <v>0</v>
      </c>
      <c r="Y12" s="2">
        <v>3</v>
      </c>
      <c r="Z12" s="2">
        <v>0</v>
      </c>
      <c r="AA12" s="2">
        <v>18</v>
      </c>
      <c r="AB12" s="2">
        <v>10</v>
      </c>
      <c r="AC12" s="2">
        <v>0</v>
      </c>
      <c r="AD12" s="2">
        <v>3</v>
      </c>
      <c r="AE12" s="2">
        <v>7</v>
      </c>
      <c r="AF12" s="2">
        <v>18</v>
      </c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4">
        <f>E12+I12+M12+Q12+U12+Y12+AG12+AK12+AO12+AS12+AW12+BA12+AC12</f>
        <v>8</v>
      </c>
      <c r="BF12" s="4">
        <f>F12+J12+N12+R12+V12+Z12+AH12+AL12+AP12+AT12+AX12+BB12+AD12</f>
        <v>10</v>
      </c>
      <c r="BG12" s="4">
        <f>G12+K12+O12+S12+W12+AA12+AI12+AM12+AQ12+AU12+AY12+BC12+AE12</f>
        <v>77</v>
      </c>
      <c r="BH12" s="4">
        <f>H12+L12+P12+T12+X12+AB12+AJ12+AN12+AR12+AV12+AZ12+BD12+AF12</f>
        <v>88</v>
      </c>
    </row>
    <row r="13" spans="1:62">
      <c r="A13" s="14">
        <v>10</v>
      </c>
      <c r="B13" s="1" t="s">
        <v>39</v>
      </c>
      <c r="C13" s="15">
        <f>BE13/(BE13+BF13)</f>
        <v>0.42857142857142855</v>
      </c>
      <c r="D13" s="15">
        <f>BG13/(BG13+BH13)</f>
        <v>0.48648648648648651</v>
      </c>
      <c r="E13" s="16">
        <v>0</v>
      </c>
      <c r="F13" s="16">
        <v>3</v>
      </c>
      <c r="G13" s="16">
        <v>5</v>
      </c>
      <c r="H13" s="28">
        <v>18</v>
      </c>
      <c r="I13" s="31">
        <v>2</v>
      </c>
      <c r="J13" s="31">
        <v>1</v>
      </c>
      <c r="K13" s="31">
        <v>17</v>
      </c>
      <c r="L13" s="31">
        <v>6</v>
      </c>
      <c r="M13" s="29">
        <v>0</v>
      </c>
      <c r="N13" s="16">
        <v>3</v>
      </c>
      <c r="O13" s="16">
        <v>11</v>
      </c>
      <c r="P13" s="16">
        <v>18</v>
      </c>
      <c r="Q13" s="16">
        <v>2</v>
      </c>
      <c r="R13" s="2">
        <v>1</v>
      </c>
      <c r="S13" s="2">
        <v>13</v>
      </c>
      <c r="T13" s="2">
        <v>15</v>
      </c>
      <c r="U13" s="2">
        <v>2</v>
      </c>
      <c r="V13" s="2">
        <v>1</v>
      </c>
      <c r="W13" s="2">
        <v>16</v>
      </c>
      <c r="X13" s="2">
        <v>11</v>
      </c>
      <c r="Y13" s="2">
        <v>1</v>
      </c>
      <c r="Z13" s="2">
        <v>2</v>
      </c>
      <c r="AA13" s="2">
        <v>13</v>
      </c>
      <c r="AB13" s="2">
        <v>15</v>
      </c>
      <c r="AC13" s="2">
        <v>2</v>
      </c>
      <c r="AD13" s="2">
        <v>1</v>
      </c>
      <c r="AE13" s="2">
        <v>15</v>
      </c>
      <c r="AF13" s="2">
        <v>12</v>
      </c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4">
        <f>E13+I13+M13+Q13+U13+Y13+AG13+AK13+AO13+AS13+AW13+BA13+AC13</f>
        <v>9</v>
      </c>
      <c r="BF13" s="4">
        <f>F13+J13+N13+R13+V13+Z13+AH13+AL13+AP13+AT13+AX13+BB13+AD13</f>
        <v>12</v>
      </c>
      <c r="BG13" s="4">
        <f>G13+K13+O13+S13+W13+AA13+AI13+AM13+AQ13+AU13+AY13+BC13+AE13</f>
        <v>90</v>
      </c>
      <c r="BH13" s="4">
        <f>H13+L13+P13+T13+X13+AB13+AJ13+AN13+AR13+AV13+AZ13+BD13+AF13</f>
        <v>95</v>
      </c>
    </row>
    <row r="14" spans="1:62">
      <c r="A14" s="14">
        <v>11</v>
      </c>
      <c r="B14" s="1" t="s">
        <v>40</v>
      </c>
      <c r="C14" s="15">
        <f>BE14/(BE14+BF14)</f>
        <v>0.38095238095238093</v>
      </c>
      <c r="D14" s="15">
        <f>BG14/(BG14+BH14)</f>
        <v>0.48677248677248675</v>
      </c>
      <c r="E14" s="16">
        <v>2</v>
      </c>
      <c r="F14" s="16">
        <v>1</v>
      </c>
      <c r="G14" s="16">
        <v>14</v>
      </c>
      <c r="H14" s="16">
        <v>10</v>
      </c>
      <c r="I14" s="27">
        <v>1</v>
      </c>
      <c r="J14" s="27">
        <v>2</v>
      </c>
      <c r="K14" s="27">
        <v>14</v>
      </c>
      <c r="L14" s="27">
        <v>13</v>
      </c>
      <c r="M14" s="16">
        <v>0</v>
      </c>
      <c r="N14" s="16">
        <v>3</v>
      </c>
      <c r="O14" s="16">
        <v>11</v>
      </c>
      <c r="P14" s="16">
        <v>18</v>
      </c>
      <c r="Q14" s="16">
        <v>2</v>
      </c>
      <c r="R14" s="2">
        <v>1</v>
      </c>
      <c r="S14" s="2">
        <v>15</v>
      </c>
      <c r="T14" s="2">
        <v>12</v>
      </c>
      <c r="U14" s="2">
        <v>2</v>
      </c>
      <c r="V14" s="2">
        <v>1</v>
      </c>
      <c r="W14" s="2">
        <v>16</v>
      </c>
      <c r="X14" s="2">
        <v>11</v>
      </c>
      <c r="Y14" s="2">
        <v>1</v>
      </c>
      <c r="Z14" s="2">
        <v>2</v>
      </c>
      <c r="AA14" s="2">
        <v>13</v>
      </c>
      <c r="AB14" s="2">
        <v>15</v>
      </c>
      <c r="AC14" s="2">
        <v>0</v>
      </c>
      <c r="AD14" s="2">
        <v>3</v>
      </c>
      <c r="AE14" s="2">
        <v>9</v>
      </c>
      <c r="AF14" s="2">
        <v>18</v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4">
        <f>E14+I14+M14+Q14+U14+Y14+AG14+AK14+AO14+AS14+AW14+BA14+AC14</f>
        <v>8</v>
      </c>
      <c r="BF14" s="4">
        <f>F14+J14+N14+R14+V14+Z14+AH14+AL14+AP14+AT14+AX14+BB14+AD14</f>
        <v>13</v>
      </c>
      <c r="BG14" s="4">
        <f>G14+K14+O14+S14+W14+AA14+AI14+AM14+AQ14+AU14+AY14+BC14+AE14</f>
        <v>92</v>
      </c>
      <c r="BH14" s="4">
        <f>H14+L14+P14+T14+X14+AB14+AJ14+AN14+AR14+AV14+AZ14+BD14+AF14</f>
        <v>97</v>
      </c>
    </row>
    <row r="15" spans="1:62">
      <c r="A15" s="14">
        <v>12</v>
      </c>
      <c r="B15" s="18" t="s">
        <v>41</v>
      </c>
      <c r="C15" s="15">
        <f>BE15/(BE15+BF15)</f>
        <v>0.22222222222222221</v>
      </c>
      <c r="D15" s="15">
        <f>BG15/(BG15+BH15)</f>
        <v>0.37333333333333335</v>
      </c>
      <c r="E15" s="16">
        <v>2</v>
      </c>
      <c r="F15" s="16">
        <v>1</v>
      </c>
      <c r="G15" s="16">
        <v>12</v>
      </c>
      <c r="H15" s="16">
        <v>11</v>
      </c>
      <c r="I15" s="16">
        <v>0</v>
      </c>
      <c r="J15" s="16">
        <v>3</v>
      </c>
      <c r="K15" s="16">
        <v>7</v>
      </c>
      <c r="L15" s="16">
        <v>18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3</v>
      </c>
      <c r="S15" s="19">
        <v>9</v>
      </c>
      <c r="T15" s="19">
        <v>18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4">
        <f>E15+I15+M15+Q15+U15+Y15+AG15+AK15+AO15+AS15+AW15+BA15+AC15</f>
        <v>2</v>
      </c>
      <c r="BF15" s="4">
        <f>F15+J15+N15+R15+V15+Z15+AH15+AL15+AP15+AT15+AX15+BB15+AD15</f>
        <v>7</v>
      </c>
      <c r="BG15" s="4">
        <f>G15+K15+O15+S15+W15+AA15+AI15+AM15+AQ15+AU15+AY15+BC15+AE15</f>
        <v>28</v>
      </c>
      <c r="BH15" s="4">
        <f>H15+L15+P15+T15+X15+AB15+AJ15+AN15+AR15+AV15+AZ15+BD15+AF15</f>
        <v>47</v>
      </c>
    </row>
    <row r="16" spans="1:62">
      <c r="A16" s="45">
        <v>12</v>
      </c>
      <c r="B16" s="38" t="s">
        <v>42</v>
      </c>
      <c r="C16" s="39">
        <f>BE16/(BE16+BF16)</f>
        <v>0.22222222222222221</v>
      </c>
      <c r="D16" s="39">
        <f>BG16/(BG16+BH16)</f>
        <v>0.37333333333333335</v>
      </c>
      <c r="E16" s="30">
        <v>0</v>
      </c>
      <c r="F16" s="30">
        <v>3</v>
      </c>
      <c r="G16" s="30">
        <v>6</v>
      </c>
      <c r="H16" s="30">
        <v>18</v>
      </c>
      <c r="I16" s="30">
        <v>0</v>
      </c>
      <c r="J16" s="30">
        <v>3</v>
      </c>
      <c r="K16" s="30">
        <v>5</v>
      </c>
      <c r="L16" s="30">
        <v>18</v>
      </c>
      <c r="M16" s="30">
        <v>0</v>
      </c>
      <c r="N16" s="30">
        <v>0</v>
      </c>
      <c r="O16" s="30">
        <v>0</v>
      </c>
      <c r="P16" s="30">
        <v>0</v>
      </c>
      <c r="Q16" s="46">
        <v>2</v>
      </c>
      <c r="R16" s="46">
        <v>1</v>
      </c>
      <c r="S16" s="46">
        <v>17</v>
      </c>
      <c r="T16" s="46">
        <v>11</v>
      </c>
      <c r="U16" s="47">
        <v>0</v>
      </c>
      <c r="V16" s="47">
        <v>0</v>
      </c>
      <c r="W16" s="47">
        <v>0</v>
      </c>
      <c r="X16" s="47">
        <v>0</v>
      </c>
      <c r="Y16" s="46">
        <v>0</v>
      </c>
      <c r="Z16" s="46">
        <v>0</v>
      </c>
      <c r="AA16" s="46">
        <v>0</v>
      </c>
      <c r="AB16" s="46">
        <v>0</v>
      </c>
      <c r="AC16" s="2">
        <v>0</v>
      </c>
      <c r="AD16" s="2">
        <v>0</v>
      </c>
      <c r="AE16" s="2">
        <v>0</v>
      </c>
      <c r="AF16" s="2">
        <v>0</v>
      </c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4">
        <f>E16+I16+M16+Q16+U16+Y16+AG16+AK16+AO16+AS16+AW16+BA16+AC16</f>
        <v>2</v>
      </c>
      <c r="BF16" s="4">
        <f>F16+J16+N16+R16+V16+Z16+AH16+AL16+AP16+AT16+AX16+BB16+AD16</f>
        <v>7</v>
      </c>
      <c r="BG16" s="4">
        <f>G16+K16+O16+S16+W16+AA16+AI16+AM16+AQ16+AU16+AY16+BC16+AE16</f>
        <v>28</v>
      </c>
      <c r="BH16" s="4">
        <f>H16+L16+P16+T16+X16+AB16+AJ16+AN16+AR16+AV16+AZ16+BD16+AF16</f>
        <v>47</v>
      </c>
    </row>
    <row r="17" spans="1:60" s="37" customFormat="1">
      <c r="A17" s="41">
        <v>14</v>
      </c>
      <c r="B17" s="42" t="s">
        <v>43</v>
      </c>
      <c r="C17" s="43">
        <f>BE17/(BE17+BF17)</f>
        <v>0</v>
      </c>
      <c r="D17" s="43">
        <f>BG17/(BG17+BH17)</f>
        <v>0.29411764705882354</v>
      </c>
      <c r="E17" s="31">
        <v>0</v>
      </c>
      <c r="F17" s="31">
        <v>3</v>
      </c>
      <c r="G17" s="31">
        <v>5</v>
      </c>
      <c r="H17" s="31">
        <v>18</v>
      </c>
      <c r="I17" s="44">
        <v>0</v>
      </c>
      <c r="J17" s="44">
        <v>0</v>
      </c>
      <c r="K17" s="44">
        <v>0</v>
      </c>
      <c r="L17" s="44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41">
        <v>3</v>
      </c>
      <c r="S17" s="41">
        <v>10</v>
      </c>
      <c r="T17" s="41">
        <v>18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19">
        <v>0</v>
      </c>
      <c r="AD17" s="19">
        <v>0</v>
      </c>
      <c r="AE17" s="19">
        <v>0</v>
      </c>
      <c r="AF17" s="19">
        <v>0</v>
      </c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">
        <f>E17+I17+M17+Q17+U17+Y17+AG17+AK17+AO17+AS17+AW17+BA17+AC17</f>
        <v>0</v>
      </c>
      <c r="BF17" s="4">
        <f>F17+J17+N17+R17+V17+Z17+AH17+AL17+AP17+AT17+AX17+BB17+AD17</f>
        <v>6</v>
      </c>
      <c r="BG17" s="4">
        <f>G17+K17+O17+S17+W17+AA17+AI17+AM17+AQ17+AU17+AY17+BC17+AE17</f>
        <v>15</v>
      </c>
      <c r="BH17" s="4">
        <f>H17+L17+P17+T17+X17+AB17+AJ17+AN17+AR17+AV17+AZ17+BD17+AF17</f>
        <v>36</v>
      </c>
    </row>
    <row r="18" spans="1:60" s="37" customFormat="1">
      <c r="A18" s="48">
        <v>15</v>
      </c>
      <c r="B18" s="42" t="s">
        <v>43</v>
      </c>
    </row>
    <row r="19" spans="1:60">
      <c r="A19" s="14" t="s">
        <v>43</v>
      </c>
      <c r="B19" s="1" t="s">
        <v>44</v>
      </c>
      <c r="C19" s="15">
        <f>BE19/(BE19+BF19)</f>
        <v>0.83333333333333337</v>
      </c>
      <c r="D19" s="15">
        <f>BG19/(BG19+BH19)</f>
        <v>0.64375000000000004</v>
      </c>
      <c r="E19" s="16">
        <v>2</v>
      </c>
      <c r="F19" s="16">
        <v>1</v>
      </c>
      <c r="G19" s="16">
        <v>16</v>
      </c>
      <c r="H19" s="16">
        <v>13</v>
      </c>
      <c r="I19" s="16">
        <v>3</v>
      </c>
      <c r="J19" s="16">
        <v>0</v>
      </c>
      <c r="K19" s="16">
        <v>18</v>
      </c>
      <c r="L19" s="16">
        <v>9</v>
      </c>
      <c r="M19" s="16">
        <v>3</v>
      </c>
      <c r="N19" s="16">
        <v>0</v>
      </c>
      <c r="O19" s="16">
        <v>18</v>
      </c>
      <c r="P19" s="16">
        <v>7</v>
      </c>
      <c r="Q19" s="16">
        <v>2</v>
      </c>
      <c r="R19" s="2">
        <v>1</v>
      </c>
      <c r="S19" s="2">
        <v>16</v>
      </c>
      <c r="T19" s="2">
        <v>9</v>
      </c>
      <c r="U19" s="2">
        <v>3</v>
      </c>
      <c r="V19" s="2">
        <v>0</v>
      </c>
      <c r="W19" s="2">
        <v>18</v>
      </c>
      <c r="X19" s="2">
        <v>6</v>
      </c>
      <c r="Y19" s="2">
        <v>2</v>
      </c>
      <c r="Z19" s="2">
        <v>1</v>
      </c>
      <c r="AA19" s="2">
        <v>17</v>
      </c>
      <c r="AB19" s="2">
        <v>13</v>
      </c>
      <c r="AC19" s="2">
        <v>0</v>
      </c>
      <c r="AD19" s="2">
        <v>0</v>
      </c>
      <c r="AE19" s="2">
        <v>0</v>
      </c>
      <c r="AF19" s="2">
        <v>0</v>
      </c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4">
        <f>E19+I19+M19+Q19+U19+Y19+AG19+AK19+AO19+AS19+AW19+BA19+AC19</f>
        <v>15</v>
      </c>
      <c r="BF19" s="4">
        <f>F19+J19+N19+R19+V19+Z19+AH19+AL19+AP19+AT19+AX19+BB19+AD19</f>
        <v>3</v>
      </c>
      <c r="BG19" s="4">
        <f>G19+K19+O19+S19+W19+AA19+AI19+AM19+AQ19+AU19+AY19+BC19+AE19</f>
        <v>103</v>
      </c>
      <c r="BH19" s="4">
        <f>H19+L19+P19+T19+X19+AB19+AJ19+AN19+AR19+AV19+AZ19+BD19+AF19</f>
        <v>57</v>
      </c>
    </row>
    <row r="20" spans="1:60" s="37" customFormat="1"/>
    <row r="21" spans="1:60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</row>
    <row r="22" spans="1:60">
      <c r="A22" s="32"/>
      <c r="B22" s="33"/>
      <c r="C22" s="34"/>
      <c r="D22" s="34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6"/>
      <c r="BF22" s="36"/>
      <c r="BG22" s="36"/>
      <c r="BH22" s="36"/>
    </row>
    <row r="23" spans="1:60">
      <c r="A23" s="14"/>
      <c r="B23" s="1"/>
      <c r="C23" s="15"/>
      <c r="D23" s="15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4"/>
      <c r="BF23" s="4"/>
      <c r="BG23" s="4"/>
      <c r="BH23" s="4"/>
    </row>
    <row r="24" spans="1:60">
      <c r="A24" s="3"/>
      <c r="B24" s="1"/>
      <c r="C24" s="15"/>
      <c r="D24" s="15"/>
      <c r="E24" s="1"/>
      <c r="F24" s="1"/>
      <c r="G24" s="1"/>
      <c r="H24" s="1"/>
      <c r="I24" s="16"/>
      <c r="J24" s="16"/>
      <c r="K24" s="16"/>
      <c r="L24" s="16"/>
      <c r="M24" s="16"/>
      <c r="N24" s="16"/>
      <c r="O24" s="16"/>
      <c r="P24" s="16"/>
      <c r="Q24" s="1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4"/>
      <c r="BF24" s="4"/>
      <c r="BG24" s="4"/>
      <c r="BH24" s="4"/>
    </row>
    <row r="25" spans="1:60">
      <c r="A25" s="14"/>
      <c r="B25" s="18"/>
      <c r="C25" s="15"/>
      <c r="D25" s="15"/>
      <c r="E25" s="16"/>
      <c r="F25" s="16"/>
      <c r="G25" s="16"/>
      <c r="H25" s="16"/>
      <c r="I25" s="4"/>
      <c r="J25" s="4"/>
      <c r="K25" s="4"/>
      <c r="L25" s="4"/>
      <c r="M25" s="16"/>
      <c r="N25" s="16"/>
      <c r="O25" s="16"/>
      <c r="P25" s="16"/>
      <c r="Q25" s="16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4"/>
      <c r="BF25" s="4"/>
      <c r="BG25" s="4"/>
      <c r="BH25" s="4"/>
    </row>
    <row r="26" spans="1:60">
      <c r="A26" s="14"/>
      <c r="B26" s="18"/>
      <c r="C26" s="15"/>
      <c r="D26" s="15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4"/>
      <c r="BF26" s="4"/>
      <c r="BG26" s="4"/>
      <c r="BH26" s="4"/>
    </row>
    <row r="27" spans="1:60">
      <c r="A27" s="14"/>
      <c r="B27" s="18"/>
      <c r="C27" s="15"/>
      <c r="D27" s="15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4"/>
      <c r="BF27" s="4"/>
      <c r="BG27" s="4"/>
      <c r="BH27" s="4"/>
    </row>
    <row r="28" spans="1:60">
      <c r="A28" s="3"/>
      <c r="B28" s="1"/>
      <c r="C28" s="15"/>
      <c r="D28" s="15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4"/>
      <c r="BF28" s="4"/>
      <c r="BG28" s="4"/>
      <c r="BH28" s="4"/>
    </row>
    <row r="29" spans="1:60">
      <c r="A29" s="14"/>
      <c r="B29" s="1"/>
      <c r="C29" s="15"/>
      <c r="D29" s="15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4"/>
      <c r="BF29" s="4"/>
      <c r="BG29" s="4"/>
      <c r="BH29" s="4"/>
    </row>
    <row r="30" spans="1:60">
      <c r="A30" s="14"/>
      <c r="B30" s="1"/>
      <c r="C30" s="15"/>
      <c r="D30" s="15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4"/>
      <c r="BF30" s="4"/>
      <c r="BG30" s="4"/>
      <c r="BH30" s="4"/>
    </row>
    <row r="31" spans="1:60">
      <c r="A31" s="14"/>
      <c r="B31" s="1"/>
      <c r="C31" s="15"/>
      <c r="D31" s="15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4"/>
      <c r="BF31" s="4"/>
      <c r="BG31" s="4"/>
      <c r="BH31" s="4"/>
    </row>
    <row r="32" spans="1:60">
      <c r="A32" s="3"/>
      <c r="B32" s="1"/>
      <c r="C32" s="15"/>
      <c r="D32" s="15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4"/>
      <c r="BF32" s="4"/>
      <c r="BG32" s="4"/>
      <c r="BH32" s="4"/>
    </row>
    <row r="33" spans="1:60">
      <c r="A33" s="14"/>
      <c r="B33" s="1"/>
      <c r="C33" s="15"/>
      <c r="D33" s="15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4"/>
      <c r="BF33" s="4"/>
      <c r="BG33" s="4"/>
      <c r="BH33" s="4"/>
    </row>
    <row r="34" spans="1:60">
      <c r="A34" s="14"/>
      <c r="B34" s="1"/>
      <c r="C34" s="15"/>
      <c r="D34" s="15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4"/>
      <c r="BF34" s="4"/>
      <c r="BG34" s="4"/>
      <c r="BH34" s="4"/>
    </row>
    <row r="35" spans="1:60">
      <c r="A35" s="14"/>
      <c r="B35" s="18"/>
      <c r="C35" s="15"/>
      <c r="D35" s="15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4"/>
      <c r="BF35" s="4"/>
      <c r="BG35" s="4"/>
      <c r="BH35" s="4"/>
    </row>
    <row r="36" spans="1:60">
      <c r="A36" s="3"/>
      <c r="B36" s="1"/>
      <c r="C36" s="15"/>
      <c r="D36" s="15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4"/>
      <c r="BF36" s="4"/>
      <c r="BG36" s="4"/>
      <c r="BH36" s="4"/>
    </row>
    <row r="37" spans="1:60">
      <c r="A37" s="14"/>
      <c r="B37" s="1"/>
      <c r="C37" s="15"/>
      <c r="D37" s="15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4"/>
      <c r="BF37" s="4"/>
      <c r="BG37" s="4"/>
      <c r="BH37" s="4"/>
    </row>
    <row r="38" spans="1:60">
      <c r="A38" s="14"/>
      <c r="B38" s="4"/>
      <c r="C38" s="15"/>
      <c r="D38" s="15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4"/>
      <c r="BF38" s="4"/>
      <c r="BG38" s="4"/>
      <c r="BH38" s="4"/>
    </row>
    <row r="39" spans="1:60">
      <c r="A39" s="14"/>
      <c r="B39" s="4"/>
      <c r="C39" s="15"/>
      <c r="D39" s="15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4"/>
      <c r="BF39" s="4"/>
      <c r="BG39" s="4"/>
      <c r="BH39" s="4"/>
    </row>
    <row r="40" spans="1:60">
      <c r="A40" s="14"/>
      <c r="B40" s="4"/>
      <c r="C40" s="15"/>
      <c r="D40" s="15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4"/>
      <c r="BF40" s="4"/>
      <c r="BG40" s="4"/>
      <c r="BH40" s="4"/>
    </row>
    <row r="41" spans="1:60">
      <c r="A41" s="3"/>
      <c r="B41" s="4"/>
      <c r="C41" s="15"/>
      <c r="D41" s="15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4"/>
      <c r="BF41" s="4"/>
      <c r="BG41" s="4"/>
      <c r="BH41" s="4"/>
    </row>
    <row r="42" spans="1:60">
      <c r="A42" s="14"/>
      <c r="B42" s="4"/>
      <c r="C42" s="15"/>
      <c r="D42" s="15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4"/>
      <c r="BF42" s="4"/>
      <c r="BG42" s="4"/>
      <c r="BH42" s="4"/>
    </row>
    <row r="43" spans="1:60">
      <c r="A43" s="14"/>
      <c r="B43" s="4"/>
      <c r="C43" s="15"/>
      <c r="D43" s="15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4"/>
      <c r="S43" s="4"/>
      <c r="T43" s="4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4"/>
      <c r="BF43" s="4"/>
      <c r="BG43" s="4"/>
      <c r="BH43" s="4"/>
    </row>
    <row r="44" spans="1:60">
      <c r="A44" s="3"/>
      <c r="B44" s="4"/>
      <c r="C44" s="15"/>
      <c r="D44" s="15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4"/>
      <c r="BF44" s="4"/>
      <c r="BG44" s="4"/>
      <c r="BH44" s="4"/>
    </row>
    <row r="45" spans="1:60">
      <c r="A45" s="14"/>
      <c r="B45" s="4"/>
      <c r="C45" s="15"/>
      <c r="D45" s="15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4"/>
      <c r="BF45" s="4"/>
      <c r="BG45" s="4"/>
      <c r="BH45" s="4"/>
    </row>
    <row r="46" spans="1:60">
      <c r="A46" s="14"/>
      <c r="B46" s="4"/>
      <c r="C46" s="15"/>
      <c r="D46" s="15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4"/>
      <c r="BF46" s="4"/>
      <c r="BG46" s="4"/>
      <c r="BH46" s="4"/>
    </row>
    <row r="47" spans="1:60">
      <c r="A47" s="14"/>
      <c r="B47" s="4"/>
      <c r="C47" s="15"/>
      <c r="D47" s="15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4"/>
      <c r="BF47" s="4"/>
      <c r="BG47" s="4"/>
      <c r="BH47" s="4"/>
    </row>
    <row r="48" spans="1:60">
      <c r="A48" s="3"/>
      <c r="B48" s="4"/>
      <c r="C48" s="15"/>
      <c r="D48" s="15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4"/>
      <c r="BF48" s="4"/>
      <c r="BG48" s="4"/>
      <c r="BH48" s="4"/>
    </row>
    <row r="49" spans="1:60">
      <c r="A49" s="14"/>
      <c r="B49" s="4"/>
      <c r="C49" s="15"/>
      <c r="D49" s="15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4"/>
      <c r="S49" s="4"/>
      <c r="T49" s="4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4"/>
      <c r="BF49" s="4"/>
      <c r="BG49" s="4"/>
      <c r="BH49" s="4"/>
    </row>
  </sheetData>
  <autoFilter ref="A2:BH49" xr:uid="{00000000-0001-0000-0100-000000000000}"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  <filterColumn colId="24" showButton="0"/>
    <filterColumn colId="26" showButton="0"/>
    <filterColumn colId="32" showButton="0"/>
    <filterColumn colId="34" showButton="0"/>
    <filterColumn colId="36" showButton="0"/>
    <filterColumn colId="38" showButton="0"/>
    <filterColumn colId="40" showButton="0"/>
    <filterColumn colId="42" showButton="0"/>
    <filterColumn colId="44" showButton="0"/>
    <filterColumn colId="46" showButton="0"/>
    <filterColumn colId="48" showButton="0"/>
    <filterColumn colId="50" showButton="0"/>
    <filterColumn colId="52" showButton="0"/>
    <filterColumn colId="54" showButton="0"/>
    <filterColumn colId="56" showButton="0"/>
    <filterColumn colId="58" showButton="0"/>
    <sortState xmlns:xlrd2="http://schemas.microsoft.com/office/spreadsheetml/2017/richdata2" ref="A3:BH49">
      <sortCondition descending="1" ref="C2:C49"/>
    </sortState>
  </autoFilter>
  <sortState xmlns:xlrd2="http://schemas.microsoft.com/office/spreadsheetml/2017/richdata2" ref="D4:D10">
    <sortCondition ref="D4:D10"/>
  </sortState>
  <mergeCells count="28">
    <mergeCell ref="BE2:BF2"/>
    <mergeCell ref="BG2:BH2"/>
    <mergeCell ref="AS2:AT2"/>
    <mergeCell ref="AU2:AV2"/>
    <mergeCell ref="AW2:AX2"/>
    <mergeCell ref="AY2:AZ2"/>
    <mergeCell ref="BA2:BB2"/>
    <mergeCell ref="BC2:BD2"/>
    <mergeCell ref="AQ2:AR2"/>
    <mergeCell ref="Q2:R2"/>
    <mergeCell ref="S2:T2"/>
    <mergeCell ref="U2:V2"/>
    <mergeCell ref="W2:X2"/>
    <mergeCell ref="Y2:Z2"/>
    <mergeCell ref="AA2:AB2"/>
    <mergeCell ref="AG2:AH2"/>
    <mergeCell ref="AI2:AJ2"/>
    <mergeCell ref="AK2:AL2"/>
    <mergeCell ref="AM2:AN2"/>
    <mergeCell ref="AO2:AP2"/>
    <mergeCell ref="AC2:AD2"/>
    <mergeCell ref="AE2:AF2"/>
    <mergeCell ref="O2:P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D2F60-D8CB-41FD-8FEF-C791059DCF6C}">
  <dimension ref="A1"/>
  <sheetViews>
    <sheetView workbookViewId="0">
      <selection activeCell="B15" sqref="B15"/>
    </sheetView>
  </sheetViews>
  <sheetFormatPr defaultRowHeight="15"/>
  <cols>
    <col min="1" max="1" width="17.57031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selection activeCell="J21" sqref="J21"/>
    </sheetView>
  </sheetViews>
  <sheetFormatPr defaultRowHeight="15"/>
  <cols>
    <col min="1" max="1" width="6.140625" customWidth="1"/>
    <col min="2" max="2" width="36.7109375" customWidth="1"/>
    <col min="3" max="5" width="18.5703125" bestFit="1" customWidth="1"/>
  </cols>
  <sheetData>
    <row r="1" spans="1:9" ht="14.45" customHeight="1">
      <c r="A1" s="53"/>
      <c r="B1" s="54" t="s">
        <v>45</v>
      </c>
      <c r="C1" s="55" t="s">
        <v>46</v>
      </c>
      <c r="D1" s="55" t="s">
        <v>47</v>
      </c>
      <c r="E1" s="55" t="s">
        <v>48</v>
      </c>
      <c r="F1" s="52" t="s">
        <v>49</v>
      </c>
      <c r="G1" s="52"/>
      <c r="H1" s="52" t="s">
        <v>25</v>
      </c>
      <c r="I1" s="52"/>
    </row>
    <row r="2" spans="1:9" ht="14.45" customHeight="1">
      <c r="A2" s="53"/>
      <c r="B2" s="54"/>
      <c r="C2" s="55"/>
      <c r="D2" s="55"/>
      <c r="E2" s="55"/>
      <c r="F2" s="1" t="s">
        <v>50</v>
      </c>
      <c r="G2" s="1" t="s">
        <v>51</v>
      </c>
      <c r="H2" s="1" t="s">
        <v>52</v>
      </c>
      <c r="I2" s="1" t="s">
        <v>51</v>
      </c>
    </row>
    <row r="3" spans="1:9">
      <c r="A3" s="17">
        <v>1</v>
      </c>
      <c r="B3" s="17"/>
      <c r="C3" s="17"/>
      <c r="D3" s="17"/>
      <c r="E3" s="17"/>
      <c r="F3" s="17"/>
      <c r="G3" s="17"/>
      <c r="H3" s="17"/>
      <c r="I3" s="17"/>
    </row>
    <row r="4" spans="1:9">
      <c r="A4" s="17">
        <v>2</v>
      </c>
      <c r="B4" s="20"/>
      <c r="C4" s="17"/>
      <c r="D4" s="17"/>
      <c r="E4" s="17"/>
      <c r="F4" s="17"/>
      <c r="G4" s="17"/>
      <c r="H4" s="17"/>
      <c r="I4" s="17"/>
    </row>
    <row r="5" spans="1:9">
      <c r="A5" s="24">
        <v>3</v>
      </c>
      <c r="B5" s="25"/>
      <c r="C5" s="24"/>
      <c r="D5" s="24"/>
      <c r="E5" s="24"/>
      <c r="F5" s="24"/>
      <c r="G5" s="24"/>
      <c r="H5" s="24"/>
      <c r="I5" s="24"/>
    </row>
    <row r="6" spans="1:9">
      <c r="A6" s="26">
        <v>4</v>
      </c>
      <c r="B6" s="26"/>
      <c r="C6" s="26"/>
      <c r="D6" s="26"/>
      <c r="E6" s="26"/>
      <c r="F6" s="26"/>
      <c r="G6" s="26"/>
      <c r="H6" s="26"/>
      <c r="I6" s="26"/>
    </row>
    <row r="7" spans="1:9">
      <c r="A7" s="23"/>
      <c r="B7" s="56"/>
      <c r="C7" s="56"/>
      <c r="D7" s="56"/>
      <c r="E7" s="56"/>
      <c r="F7" s="56"/>
      <c r="G7" s="56"/>
      <c r="H7" s="56"/>
      <c r="I7" s="56"/>
    </row>
    <row r="8" spans="1:9" ht="14.45" customHeight="1">
      <c r="A8" s="53"/>
      <c r="B8" s="54" t="s">
        <v>45</v>
      </c>
      <c r="C8" s="55" t="s">
        <v>46</v>
      </c>
      <c r="D8" s="55" t="s">
        <v>47</v>
      </c>
      <c r="E8" s="55" t="s">
        <v>48</v>
      </c>
      <c r="F8" s="52" t="s">
        <v>49</v>
      </c>
      <c r="G8" s="52"/>
      <c r="H8" s="52" t="s">
        <v>25</v>
      </c>
      <c r="I8" s="52"/>
    </row>
    <row r="9" spans="1:9" ht="14.45" customHeight="1">
      <c r="A9" s="53"/>
      <c r="B9" s="54"/>
      <c r="C9" s="55"/>
      <c r="D9" s="55"/>
      <c r="E9" s="55"/>
      <c r="F9" s="1" t="s">
        <v>50</v>
      </c>
      <c r="G9" s="1" t="s">
        <v>51</v>
      </c>
      <c r="H9" s="1" t="s">
        <v>52</v>
      </c>
      <c r="I9" s="1" t="s">
        <v>51</v>
      </c>
    </row>
    <row r="10" spans="1:9" ht="14.45" customHeight="1">
      <c r="A10" s="17">
        <v>1</v>
      </c>
      <c r="B10" s="17"/>
      <c r="C10" s="17"/>
      <c r="D10" s="17"/>
      <c r="E10" s="17"/>
      <c r="F10" s="17"/>
      <c r="G10" s="17"/>
      <c r="H10" s="17"/>
      <c r="I10" s="17"/>
    </row>
    <row r="11" spans="1:9" ht="14.45" customHeight="1">
      <c r="A11" s="17">
        <v>2</v>
      </c>
      <c r="B11" s="20"/>
      <c r="C11" s="17"/>
      <c r="D11" s="17"/>
      <c r="E11" s="17"/>
      <c r="F11" s="17"/>
      <c r="G11" s="17"/>
      <c r="H11" s="17"/>
      <c r="I11" s="17"/>
    </row>
    <row r="12" spans="1:9" ht="14.45" customHeight="1">
      <c r="A12" s="24">
        <v>3</v>
      </c>
      <c r="B12" s="25"/>
      <c r="C12" s="24"/>
      <c r="D12" s="24"/>
      <c r="E12" s="24"/>
      <c r="F12" s="24"/>
      <c r="G12" s="24"/>
      <c r="H12" s="24"/>
      <c r="I12" s="24"/>
    </row>
    <row r="13" spans="1:9" ht="14.45" customHeight="1">
      <c r="A13" s="26">
        <v>4</v>
      </c>
      <c r="B13" s="26"/>
      <c r="C13" s="26"/>
      <c r="D13" s="26"/>
      <c r="E13" s="26"/>
      <c r="F13" s="26"/>
      <c r="G13" s="26"/>
      <c r="H13" s="26"/>
      <c r="I13" s="26"/>
    </row>
    <row r="14" spans="1:9">
      <c r="B14" s="22"/>
    </row>
    <row r="15" spans="1:9" ht="14.45" customHeight="1">
      <c r="A15" s="53"/>
      <c r="B15" s="54" t="s">
        <v>45</v>
      </c>
      <c r="C15" s="55" t="s">
        <v>46</v>
      </c>
      <c r="D15" s="55" t="s">
        <v>47</v>
      </c>
      <c r="E15" s="55" t="s">
        <v>48</v>
      </c>
      <c r="F15" s="52" t="s">
        <v>49</v>
      </c>
      <c r="G15" s="52"/>
      <c r="H15" s="52" t="s">
        <v>25</v>
      </c>
      <c r="I15" s="52"/>
    </row>
    <row r="16" spans="1:9" ht="14.45" customHeight="1">
      <c r="A16" s="53"/>
      <c r="B16" s="54"/>
      <c r="C16" s="55"/>
      <c r="D16" s="55"/>
      <c r="E16" s="55"/>
      <c r="F16" s="1" t="s">
        <v>50</v>
      </c>
      <c r="G16" s="1" t="s">
        <v>51</v>
      </c>
      <c r="H16" s="1" t="s">
        <v>52</v>
      </c>
      <c r="I16" s="1" t="s">
        <v>51</v>
      </c>
    </row>
    <row r="17" spans="1:9" ht="14.45" customHeight="1">
      <c r="A17" s="17">
        <v>1</v>
      </c>
      <c r="B17" s="17"/>
      <c r="C17" s="17"/>
      <c r="D17" s="17"/>
      <c r="E17" s="17"/>
      <c r="F17" s="17"/>
      <c r="G17" s="17"/>
      <c r="H17" s="17"/>
      <c r="I17" s="17"/>
    </row>
    <row r="18" spans="1:9" ht="14.45" customHeight="1">
      <c r="A18" s="17">
        <v>2</v>
      </c>
      <c r="B18" s="20"/>
      <c r="C18" s="17"/>
      <c r="D18" s="17"/>
      <c r="E18" s="17"/>
      <c r="F18" s="17"/>
      <c r="G18" s="17"/>
      <c r="H18" s="17"/>
      <c r="I18" s="17"/>
    </row>
    <row r="19" spans="1:9" ht="14.45" customHeight="1">
      <c r="A19" s="24">
        <v>3</v>
      </c>
      <c r="B19" s="25"/>
      <c r="C19" s="24"/>
      <c r="D19" s="24"/>
      <c r="E19" s="24"/>
      <c r="F19" s="24"/>
      <c r="G19" s="24"/>
      <c r="H19" s="24"/>
      <c r="I19" s="24"/>
    </row>
    <row r="20" spans="1:9" ht="14.45" customHeight="1">
      <c r="A20" s="26">
        <v>4</v>
      </c>
      <c r="B20" s="26"/>
      <c r="C20" s="26"/>
      <c r="D20" s="26"/>
      <c r="E20" s="26"/>
      <c r="F20" s="26"/>
      <c r="G20" s="26"/>
      <c r="H20" s="26"/>
      <c r="I20" s="26"/>
    </row>
    <row r="21" spans="1:9">
      <c r="B21" s="22"/>
    </row>
    <row r="22" spans="1:9" ht="14.45" customHeight="1">
      <c r="A22" s="53"/>
      <c r="B22" s="54" t="s">
        <v>45</v>
      </c>
      <c r="C22" s="55" t="s">
        <v>46</v>
      </c>
      <c r="D22" s="55" t="s">
        <v>47</v>
      </c>
      <c r="E22" s="55" t="s">
        <v>48</v>
      </c>
      <c r="F22" s="52" t="s">
        <v>49</v>
      </c>
      <c r="G22" s="52"/>
      <c r="H22" s="52" t="s">
        <v>25</v>
      </c>
      <c r="I22" s="52"/>
    </row>
    <row r="23" spans="1:9" ht="14.45" customHeight="1">
      <c r="A23" s="53"/>
      <c r="B23" s="54"/>
      <c r="C23" s="55"/>
      <c r="D23" s="55"/>
      <c r="E23" s="55"/>
      <c r="F23" s="1" t="s">
        <v>50</v>
      </c>
      <c r="G23" s="1" t="s">
        <v>51</v>
      </c>
      <c r="H23" s="1" t="s">
        <v>52</v>
      </c>
      <c r="I23" s="1" t="s">
        <v>51</v>
      </c>
    </row>
    <row r="24" spans="1:9" ht="14.45" customHeight="1">
      <c r="A24" s="17">
        <v>1</v>
      </c>
      <c r="B24" s="17"/>
      <c r="C24" s="17"/>
      <c r="D24" s="17"/>
      <c r="E24" s="17"/>
      <c r="F24" s="17"/>
      <c r="G24" s="17"/>
      <c r="H24" s="17"/>
      <c r="I24" s="17"/>
    </row>
    <row r="25" spans="1:9" ht="14.45" customHeight="1">
      <c r="A25" s="17">
        <v>2</v>
      </c>
      <c r="B25" s="20"/>
      <c r="C25" s="17"/>
      <c r="D25" s="17"/>
      <c r="E25" s="17"/>
      <c r="F25" s="17"/>
      <c r="G25" s="17"/>
      <c r="H25" s="17"/>
      <c r="I25" s="17"/>
    </row>
    <row r="26" spans="1:9" ht="14.45" customHeight="1">
      <c r="A26" s="24">
        <v>3</v>
      </c>
      <c r="B26" s="25"/>
      <c r="C26" s="24"/>
      <c r="D26" s="24"/>
      <c r="E26" s="24"/>
      <c r="F26" s="24"/>
      <c r="G26" s="24"/>
      <c r="H26" s="24"/>
      <c r="I26" s="24"/>
    </row>
    <row r="27" spans="1:9" ht="14.45" customHeight="1">
      <c r="A27" s="26">
        <v>4</v>
      </c>
      <c r="B27" s="26"/>
      <c r="C27" s="26"/>
      <c r="D27" s="26"/>
      <c r="E27" s="26"/>
      <c r="F27" s="26"/>
      <c r="G27" s="26"/>
      <c r="H27" s="26"/>
      <c r="I27" s="26"/>
    </row>
    <row r="29" spans="1:9">
      <c r="A29" s="53"/>
      <c r="B29" s="54" t="s">
        <v>45</v>
      </c>
      <c r="C29" s="55" t="s">
        <v>46</v>
      </c>
      <c r="D29" s="55" t="s">
        <v>47</v>
      </c>
      <c r="E29" s="55" t="s">
        <v>48</v>
      </c>
      <c r="F29" s="52" t="s">
        <v>49</v>
      </c>
      <c r="G29" s="52"/>
      <c r="H29" s="52" t="s">
        <v>25</v>
      </c>
      <c r="I29" s="52"/>
    </row>
    <row r="30" spans="1:9">
      <c r="A30" s="53"/>
      <c r="B30" s="54"/>
      <c r="C30" s="55"/>
      <c r="D30" s="55"/>
      <c r="E30" s="55"/>
      <c r="F30" s="1" t="s">
        <v>50</v>
      </c>
      <c r="G30" s="1" t="s">
        <v>51</v>
      </c>
      <c r="H30" s="1" t="s">
        <v>52</v>
      </c>
      <c r="I30" s="1" t="s">
        <v>51</v>
      </c>
    </row>
    <row r="31" spans="1:9">
      <c r="A31" s="17">
        <v>1</v>
      </c>
      <c r="B31" s="17"/>
      <c r="C31" s="17"/>
      <c r="D31" s="17"/>
      <c r="E31" s="17"/>
      <c r="F31" s="17"/>
      <c r="G31" s="17"/>
      <c r="H31" s="17"/>
      <c r="I31" s="17"/>
    </row>
    <row r="32" spans="1:9">
      <c r="A32" s="17">
        <v>2</v>
      </c>
      <c r="B32" s="20"/>
      <c r="C32" s="17"/>
      <c r="D32" s="17"/>
      <c r="E32" s="17"/>
      <c r="F32" s="17"/>
      <c r="G32" s="17"/>
      <c r="H32" s="17"/>
      <c r="I32" s="17"/>
    </row>
    <row r="33" spans="1:9">
      <c r="A33" s="24">
        <v>3</v>
      </c>
      <c r="B33" s="25"/>
      <c r="C33" s="24"/>
      <c r="D33" s="24"/>
      <c r="E33" s="24"/>
      <c r="F33" s="24"/>
      <c r="G33" s="24"/>
      <c r="H33" s="24"/>
      <c r="I33" s="24"/>
    </row>
    <row r="34" spans="1:9">
      <c r="A34" s="26">
        <v>4</v>
      </c>
      <c r="B34" s="26"/>
      <c r="C34" s="26"/>
      <c r="D34" s="26"/>
      <c r="E34" s="26"/>
      <c r="F34" s="26"/>
      <c r="G34" s="26"/>
      <c r="H34" s="26"/>
      <c r="I34" s="26"/>
    </row>
  </sheetData>
  <mergeCells count="36">
    <mergeCell ref="F22:G22"/>
    <mergeCell ref="H22:I22"/>
    <mergeCell ref="A22:A23"/>
    <mergeCell ref="B22:B23"/>
    <mergeCell ref="C22:C23"/>
    <mergeCell ref="D22:D23"/>
    <mergeCell ref="E22:E23"/>
    <mergeCell ref="H1:I1"/>
    <mergeCell ref="B7:I7"/>
    <mergeCell ref="A1:A2"/>
    <mergeCell ref="B1:B2"/>
    <mergeCell ref="C1:C2"/>
    <mergeCell ref="D1:D2"/>
    <mergeCell ref="E1:E2"/>
    <mergeCell ref="F1:G1"/>
    <mergeCell ref="A8:A9"/>
    <mergeCell ref="F8:G8"/>
    <mergeCell ref="H8:I8"/>
    <mergeCell ref="A15:A16"/>
    <mergeCell ref="B15:B16"/>
    <mergeCell ref="C15:C16"/>
    <mergeCell ref="D15:D16"/>
    <mergeCell ref="E15:E16"/>
    <mergeCell ref="F15:G15"/>
    <mergeCell ref="H15:I15"/>
    <mergeCell ref="C8:C9"/>
    <mergeCell ref="D8:D9"/>
    <mergeCell ref="E8:E9"/>
    <mergeCell ref="B8:B9"/>
    <mergeCell ref="F29:G29"/>
    <mergeCell ref="H29:I29"/>
    <mergeCell ref="A29:A30"/>
    <mergeCell ref="B29:B30"/>
    <mergeCell ref="C29:C30"/>
    <mergeCell ref="D29:D30"/>
    <mergeCell ref="E29:E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Kristijan Mitrovski</dc:creator>
  <cp:keywords/>
  <dc:description/>
  <cp:lastModifiedBy/>
  <cp:revision/>
  <dcterms:created xsi:type="dcterms:W3CDTF">2019-04-03T20:35:26Z</dcterms:created>
  <dcterms:modified xsi:type="dcterms:W3CDTF">2026-06-03T01:23:15Z</dcterms:modified>
  <cp:category/>
  <cp:contentStatus/>
</cp:coreProperties>
</file>